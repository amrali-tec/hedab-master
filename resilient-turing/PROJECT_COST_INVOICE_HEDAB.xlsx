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Volumes/SSD/Hedab master/resilient-turing/"/>
    </mc:Choice>
  </mc:AlternateContent>
  <xr:revisionPtr revIDLastSave="0" documentId="13_ncr:1_{E222372A-B646-4741-88D0-9F1F92148E9B}" xr6:coauthVersionLast="47" xr6:coauthVersionMax="47" xr10:uidLastSave="{00000000-0000-0000-0000-000000000000}"/>
  <bookViews>
    <workbookView xWindow="0" yWindow="620" windowWidth="51200" windowHeight="25820" xr2:uid="{00000000-000D-0000-FFFF-FFFF00000000}"/>
  </bookViews>
  <sheets>
    <sheet name="جدول التكاليف التفصيلي" sheetId="1" r:id="rId1"/>
    <sheet name="جدول الدفعات والضما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1" i="1"/>
  <c r="D22" i="1" s="1"/>
  <c r="D9" i="2"/>
  <c r="D19" i="1"/>
</calcChain>
</file>

<file path=xl/sharedStrings.xml><?xml version="1.0" encoding="utf-8"?>
<sst xmlns="http://schemas.openxmlformats.org/spreadsheetml/2006/main" count="52" uniqueCount="51">
  <si>
    <t>فاتورة تفصيلية لتكاليف تطوير وهندسة المشروع</t>
  </si>
  <si>
    <t>مشروع: البوابة الرقمية المتكاملة ونظام إدارة المحتوى البصري (Visual CMS) - شركة هضاب الخليج للمقاولات</t>
  </si>
  <si>
    <t>رقم الفاتورة:</t>
  </si>
  <si>
    <t>INV-HEDAB-2026-001</t>
  </si>
  <si>
    <t>تاريخ الإصدار:</t>
  </si>
  <si>
    <t>2026-09-10 م</t>
  </si>
  <si>
    <t>العميل:</t>
  </si>
  <si>
    <t>شركة هضاب الخليج للمقاولات</t>
  </si>
  <si>
    <t>العملة المعتمدة:</t>
  </si>
  <si>
    <t>ريال سعودي (SAR)</t>
  </si>
  <si>
    <t>حالة المشروع:</t>
  </si>
  <si>
    <t>خط أساس إنتاجي مؤمن ومكتمل (100%)</t>
  </si>
  <si>
    <t>مدة الضمان:</t>
  </si>
  <si>
    <t>6 أشهر دعم وصيانة مجانية</t>
  </si>
  <si>
    <t>م</t>
  </si>
  <si>
    <t>البند الفني ومخرجات التسليم</t>
  </si>
  <si>
    <t>الإجمالي الفرعي (ر.س)</t>
  </si>
  <si>
    <t>تخطيط وهندسة البرمجيات وتجربة المستخدم (UI/UX Architecture &amp; Prototyping)</t>
  </si>
  <si>
    <t>تطوير واجهة البوابة العامة ثنائية اللغة وتوليد 191 مساراً فائق السرعة (Next.js 16 SSG)</t>
  </si>
  <si>
    <t>هندسة وتطوير نظام إدارة المحتوى البصري المخصص (Visual CMS &amp; Canvas &amp; Drag-Drop)</t>
  </si>
  <si>
    <t>أمان النظام، المصادقة عديمة الحالة وحماية لوحة الإدارة (Stateless Auth &amp; Security)</t>
  </si>
  <si>
    <t>محرك تخزين البيانات المعزول، اللقطات التلقائية واستعادة النسخ الاحتياطية (Data Engine)</t>
  </si>
  <si>
    <t>إدارة الوسائط والأصول الرقمية والتحويل التلقائي لصيغ Next-Gen WebP</t>
  </si>
  <si>
    <t>حزمة اختبارات الجودة والأمان والأتمتة الشاملة (Comprehensive QA &amp; 40+ E2E Suites)</t>
  </si>
  <si>
    <t>تهيئة محركات البحث والأرشفة الرقمية والبيانات المهيكلة (SEO &amp; Schema &amp; Sitemaps)</t>
  </si>
  <si>
    <t>إجمالي ساعات التطوير المباشر وتكلفة الأعمال الأساسية</t>
  </si>
  <si>
    <t>تجهيز البيئات السحابية وحزم الأمان والوكيل العكسي</t>
  </si>
  <si>
    <t>المجموع الإجمالي للأعمال قبل الخصم</t>
  </si>
  <si>
    <t>خصم التعاقد الاستراتيجي الحصري للأعمال المتكاملة (10%)</t>
  </si>
  <si>
    <t>الإجمالي النهائي المستحق سداده (Grand Total)</t>
  </si>
  <si>
    <t>جدول الدفعات التعاقدي وشروط الضمان الفني</t>
  </si>
  <si>
    <t>الدفعة</t>
  </si>
  <si>
    <t>المرحلة التعاقدية ومعيار التسليم</t>
  </si>
  <si>
    <t>النسبة المئوية</t>
  </si>
  <si>
    <t>المبلغ المستحق (ر.س)</t>
  </si>
  <si>
    <t>الدفعة الأولى</t>
  </si>
  <si>
    <t>دفعة مقدمة عند توقيع العقد وبدء أعمال التخطيط وتصميم النماذج التفاعلية واعتمادها</t>
  </si>
  <si>
    <t>30%</t>
  </si>
  <si>
    <t>الدفعة الثانية</t>
  </si>
  <si>
    <t>اكتمال بناء واجهات البوابة ومحرك إدارة المحتوى البصري المخصص ونظام الأمان والمصادقة</t>
  </si>
  <si>
    <t>40%</t>
  </si>
  <si>
    <t>الدفعة الثالثة</t>
  </si>
  <si>
    <t>إتمام كافة اختبارات القبول وتشغيل المنظومة بنجاح وقفل خط الأساس الإنتاجي وتسليم الشيفرة</t>
  </si>
  <si>
    <t>إجمالي الدفعات التعاقدية المستحقة (شاملاً ضريبة القيمة المضافة)</t>
  </si>
  <si>
    <t>100%</t>
  </si>
  <si>
    <t>أحكام الضمان والملكية الفكرية:</t>
  </si>
  <si>
    <t>1. فترة الضمان: تشمل الفاتورة ضماناً برمجياً شاملاً لمدة 6 أشهر من تاريخ التسليم النهائي ضد أية عيوب برمجية أو ثغرات أمنية.</t>
  </si>
  <si>
    <t>2. الصيانة المجانية: تقديم الدعم الفني وتحديثات الأمان وتصحيحات التوافقية بشكل مجاني طوال فترة الضمان.</t>
  </si>
  <si>
    <t>3. الملكية الفكرية: تنتقل الملكية الفكرية الكاملة للشيفرة المصدرية (Source Code) وقواعد البيانات لشركة هضاب الخليج للمقاولات فور سداد الالتزامات.</t>
  </si>
  <si>
    <t>4. جاهزية النظام: تم اجتياز 100% من الاختبارات المؤتمتة (40+ سكريبت فحص) وتأكيد خلو النظام من أي أخطاء في فحص TypeScript.</t>
  </si>
  <si>
    <t>بيئة التشغيل وتجهيز الخوادم المخصصة للإنتاج (DevOps &amp; Node Server &amp; PM2 &amp; Hostinger)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</si>
</sst>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E3A8A"/>
      <name val="Calibri"/>
    </font>
    <font>
      <sz val="11"/>
      <color rgb="FF475569"/>
      <name val="Calibri"/>
    </font>
    <font>
      <b/>
      <sz val="11"/>
      <color rgb="FF0F172A"/>
      <name val="Calibri"/>
    </font>
    <font>
      <sz val="11"/>
      <color rgb="FF0F172A"/>
      <name val="Calibri"/>
    </font>
    <font>
      <b/>
      <sz val="11"/>
      <color rgb="FFFFFFFF"/>
      <name val="Calibri"/>
    </font>
    <font>
      <sz val="11"/>
      <color rgb="FFB91C1C"/>
      <name val="Calibri"/>
    </font>
    <font>
      <b/>
      <sz val="12"/>
      <color rgb="FF1E3A8A"/>
      <name val="Calibri"/>
    </font>
    <font>
      <b/>
      <sz val="13"/>
      <color rgb="FF1E3A8A"/>
      <name val="Calibri"/>
    </font>
    <font>
      <sz val="11"/>
      <color rgb="FF0F172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0F7FF"/>
        <bgColor rgb="FFF0F7F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5" borderId="1" xfId="0" applyFont="1" applyFill="1" applyBorder="1" applyAlignment="1">
      <alignment horizontal="right" vertical="center" wrapText="1"/>
    </xf>
    <xf numFmtId="0" fontId="3" fillId="5" borderId="1" xfId="0" applyFont="1" applyFill="1" applyBorder="1"/>
    <xf numFmtId="4" fontId="3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0" fillId="6" borderId="2" xfId="0" applyFill="1" applyBorder="1"/>
    <xf numFmtId="0" fontId="7" fillId="6" borderId="2" xfId="0" applyFont="1" applyFill="1" applyBorder="1" applyAlignment="1">
      <alignment horizontal="right" vertical="center" wrapText="1"/>
    </xf>
    <xf numFmtId="4" fontId="7" fillId="6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9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24"/>
  <sheetViews>
    <sheetView rightToLeft="1" tabSelected="1" view="pageBreakPreview" topLeftCell="A2" zoomScale="60" zoomScaleNormal="160" workbookViewId="0">
      <selection activeCell="B16" sqref="B16"/>
    </sheetView>
  </sheetViews>
  <sheetFormatPr baseColWidth="10" defaultColWidth="8.83203125" defaultRowHeight="15" x14ac:dyDescent="0.2"/>
  <cols>
    <col min="1" max="1" width="11.1640625" customWidth="1"/>
    <col min="2" max="2" width="75" customWidth="1"/>
    <col min="3" max="3" width="11.33203125" bestFit="1" customWidth="1"/>
    <col min="4" max="4" width="26" customWidth="1"/>
  </cols>
  <sheetData>
    <row r="2" spans="1:4" x14ac:dyDescent="0.2">
      <c r="A2" s="28" t="s">
        <v>0</v>
      </c>
      <c r="B2" s="29"/>
      <c r="C2" s="29"/>
      <c r="D2" s="29"/>
    </row>
    <row r="3" spans="1:4" x14ac:dyDescent="0.2">
      <c r="A3" s="30" t="s">
        <v>1</v>
      </c>
      <c r="B3" s="29"/>
      <c r="C3" s="29"/>
      <c r="D3" s="29"/>
    </row>
    <row r="5" spans="1:4" x14ac:dyDescent="0.2">
      <c r="A5" s="1" t="s">
        <v>2</v>
      </c>
      <c r="B5" s="2" t="s">
        <v>3</v>
      </c>
      <c r="C5" s="1" t="s">
        <v>4</v>
      </c>
      <c r="D5" s="32" t="s">
        <v>5</v>
      </c>
    </row>
    <row r="6" spans="1:4" x14ac:dyDescent="0.2">
      <c r="A6" s="1" t="s">
        <v>6</v>
      </c>
      <c r="B6" s="2" t="s">
        <v>7</v>
      </c>
      <c r="C6" s="1" t="s">
        <v>8</v>
      </c>
      <c r="D6" s="2" t="s">
        <v>9</v>
      </c>
    </row>
    <row r="7" spans="1:4" x14ac:dyDescent="0.2">
      <c r="A7" s="1" t="s">
        <v>10</v>
      </c>
      <c r="B7" s="2" t="s">
        <v>11</v>
      </c>
      <c r="C7" s="1" t="s">
        <v>12</v>
      </c>
      <c r="D7" s="2" t="s">
        <v>13</v>
      </c>
    </row>
    <row r="9" spans="1:4" ht="28" customHeight="1" x14ac:dyDescent="0.2">
      <c r="A9" s="3" t="s">
        <v>14</v>
      </c>
      <c r="B9" s="3" t="s">
        <v>15</v>
      </c>
      <c r="C9" s="3"/>
      <c r="D9" s="3" t="s">
        <v>16</v>
      </c>
    </row>
    <row r="10" spans="1:4" ht="24" customHeight="1" x14ac:dyDescent="0.2">
      <c r="A10" s="4">
        <v>1</v>
      </c>
      <c r="B10" s="5" t="s">
        <v>17</v>
      </c>
      <c r="C10" s="6"/>
      <c r="D10" s="6">
        <v>1000</v>
      </c>
    </row>
    <row r="11" spans="1:4" ht="24" customHeight="1" x14ac:dyDescent="0.2">
      <c r="A11" s="7">
        <v>2</v>
      </c>
      <c r="B11" s="8" t="s">
        <v>18</v>
      </c>
      <c r="C11" s="9"/>
      <c r="D11" s="9">
        <v>1000</v>
      </c>
    </row>
    <row r="12" spans="1:4" ht="24" customHeight="1" x14ac:dyDescent="0.2">
      <c r="A12" s="4">
        <v>3</v>
      </c>
      <c r="B12" s="5" t="s">
        <v>19</v>
      </c>
      <c r="C12" s="6"/>
      <c r="D12" s="6">
        <v>500</v>
      </c>
    </row>
    <row r="13" spans="1:4" ht="24" customHeight="1" x14ac:dyDescent="0.2">
      <c r="A13" s="7">
        <v>4</v>
      </c>
      <c r="B13" s="8" t="s">
        <v>20</v>
      </c>
      <c r="C13" s="9"/>
      <c r="D13" s="9">
        <v>0</v>
      </c>
    </row>
    <row r="14" spans="1:4" ht="24" customHeight="1" x14ac:dyDescent="0.2">
      <c r="A14" s="4">
        <v>5</v>
      </c>
      <c r="B14" s="5" t="s">
        <v>21</v>
      </c>
      <c r="C14" s="6"/>
      <c r="D14" s="6">
        <v>0</v>
      </c>
    </row>
    <row r="15" spans="1:4" ht="24" customHeight="1" x14ac:dyDescent="0.2">
      <c r="A15" s="7">
        <v>6</v>
      </c>
      <c r="B15" s="8" t="s">
        <v>22</v>
      </c>
      <c r="C15" s="9"/>
      <c r="D15" s="9">
        <v>0</v>
      </c>
    </row>
    <row r="16" spans="1:4" ht="24" customHeight="1" x14ac:dyDescent="0.2">
      <c r="A16" s="4">
        <v>7</v>
      </c>
      <c r="B16" s="5" t="s">
        <v>23</v>
      </c>
      <c r="C16" s="6"/>
      <c r="D16" s="6">
        <v>0</v>
      </c>
    </row>
    <row r="17" spans="1:4" ht="24" customHeight="1" x14ac:dyDescent="0.2">
      <c r="A17" s="7">
        <v>8</v>
      </c>
      <c r="B17" s="8" t="s">
        <v>24</v>
      </c>
      <c r="C17" s="9"/>
      <c r="D17" s="9">
        <v>500</v>
      </c>
    </row>
    <row r="18" spans="1:4" ht="24" customHeight="1" x14ac:dyDescent="0.2">
      <c r="A18" s="4">
        <v>9</v>
      </c>
      <c r="B18" s="33" t="s">
        <v>50</v>
      </c>
      <c r="C18" s="6"/>
      <c r="D18" s="6">
        <v>0</v>
      </c>
    </row>
    <row r="19" spans="1:4" ht="25" customHeight="1" x14ac:dyDescent="0.2">
      <c r="A19" s="10"/>
      <c r="B19" s="11" t="s">
        <v>25</v>
      </c>
      <c r="C19" s="12"/>
      <c r="D19" s="13">
        <f>SUM(D10:D18)</f>
        <v>3000</v>
      </c>
    </row>
    <row r="20" spans="1:4" ht="16" x14ac:dyDescent="0.2">
      <c r="A20" s="14"/>
      <c r="B20" s="15" t="s">
        <v>26</v>
      </c>
      <c r="C20" s="14"/>
      <c r="D20" s="16">
        <v>0</v>
      </c>
    </row>
    <row r="21" spans="1:4" ht="16" x14ac:dyDescent="0.2">
      <c r="A21" s="17"/>
      <c r="B21" s="18" t="s">
        <v>27</v>
      </c>
      <c r="C21" s="17"/>
      <c r="D21" s="19">
        <f>SUM(D10:D18)</f>
        <v>3000</v>
      </c>
    </row>
    <row r="22" spans="1:4" ht="16" x14ac:dyDescent="0.2">
      <c r="A22" s="17"/>
      <c r="B22" s="15" t="s">
        <v>28</v>
      </c>
      <c r="C22" s="17"/>
      <c r="D22" s="20">
        <f>-D21*0.1</f>
        <v>-300</v>
      </c>
    </row>
    <row r="23" spans="1:4" ht="28" customHeight="1" thickBot="1" x14ac:dyDescent="0.25">
      <c r="A23" s="21"/>
      <c r="B23" s="22" t="s">
        <v>29</v>
      </c>
      <c r="C23" s="21"/>
      <c r="D23" s="23">
        <f>D21+D22</f>
        <v>2700</v>
      </c>
    </row>
    <row r="24" spans="1:4" ht="16" thickTop="1" x14ac:dyDescent="0.2"/>
  </sheetData>
  <mergeCells count="2">
    <mergeCell ref="A2:D2"/>
    <mergeCell ref="A3:D3"/>
  </mergeCells>
  <pageMargins left="0.75" right="0.75" top="1" bottom="1" header="0.5" footer="0.5"/>
  <pageSetup paperSize="9" scale="9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rightToLeft="1" workbookViewId="0"/>
  </sheetViews>
  <sheetFormatPr baseColWidth="10" defaultColWidth="8.83203125" defaultRowHeight="15" x14ac:dyDescent="0.2"/>
  <cols>
    <col min="1" max="1" width="16" customWidth="1"/>
    <col min="2" max="2" width="75" customWidth="1"/>
    <col min="3" max="3" width="16" customWidth="1"/>
    <col min="4" max="4" width="24" customWidth="1"/>
  </cols>
  <sheetData>
    <row r="2" spans="1:4" x14ac:dyDescent="0.2">
      <c r="A2" s="28" t="s">
        <v>30</v>
      </c>
      <c r="B2" s="29"/>
      <c r="C2" s="29"/>
      <c r="D2" s="29"/>
    </row>
    <row r="5" spans="1:4" ht="26" customHeight="1" x14ac:dyDescent="0.2">
      <c r="A5" s="3" t="s">
        <v>31</v>
      </c>
      <c r="B5" s="3" t="s">
        <v>32</v>
      </c>
      <c r="C5" s="3" t="s">
        <v>33</v>
      </c>
      <c r="D5" s="3" t="s">
        <v>34</v>
      </c>
    </row>
    <row r="6" spans="1:4" ht="25" customHeight="1" x14ac:dyDescent="0.2">
      <c r="A6" s="24" t="s">
        <v>35</v>
      </c>
      <c r="B6" s="15" t="s">
        <v>36</v>
      </c>
      <c r="C6" s="24" t="s">
        <v>37</v>
      </c>
      <c r="D6" s="16">
        <v>53716.5</v>
      </c>
    </row>
    <row r="7" spans="1:4" ht="25" customHeight="1" x14ac:dyDescent="0.2">
      <c r="A7" s="24" t="s">
        <v>38</v>
      </c>
      <c r="B7" s="15" t="s">
        <v>39</v>
      </c>
      <c r="C7" s="24" t="s">
        <v>40</v>
      </c>
      <c r="D7" s="16">
        <v>71622</v>
      </c>
    </row>
    <row r="8" spans="1:4" ht="25" customHeight="1" x14ac:dyDescent="0.2">
      <c r="A8" s="24" t="s">
        <v>41</v>
      </c>
      <c r="B8" s="15" t="s">
        <v>42</v>
      </c>
      <c r="C8" s="24" t="s">
        <v>37</v>
      </c>
      <c r="D8" s="16">
        <v>53716.5</v>
      </c>
    </row>
    <row r="9" spans="1:4" ht="26" customHeight="1" x14ac:dyDescent="0.2">
      <c r="A9" s="21"/>
      <c r="B9" s="25" t="s">
        <v>43</v>
      </c>
      <c r="C9" s="26" t="s">
        <v>44</v>
      </c>
      <c r="D9" s="23">
        <f>SUM(D6:D8)</f>
        <v>179055</v>
      </c>
    </row>
    <row r="12" spans="1:4" ht="17" x14ac:dyDescent="0.2">
      <c r="A12" s="27" t="s">
        <v>45</v>
      </c>
    </row>
    <row r="13" spans="1:4" x14ac:dyDescent="0.2">
      <c r="A13" s="31" t="s">
        <v>46</v>
      </c>
      <c r="B13" s="29"/>
      <c r="C13" s="29"/>
      <c r="D13" s="29"/>
    </row>
    <row r="14" spans="1:4" x14ac:dyDescent="0.2">
      <c r="A14" s="31" t="s">
        <v>47</v>
      </c>
      <c r="B14" s="29"/>
      <c r="C14" s="29"/>
      <c r="D14" s="29"/>
    </row>
    <row r="15" spans="1:4" x14ac:dyDescent="0.2">
      <c r="A15" s="31" t="s">
        <v>48</v>
      </c>
      <c r="B15" s="29"/>
      <c r="C15" s="29"/>
      <c r="D15" s="29"/>
    </row>
    <row r="16" spans="1:4" x14ac:dyDescent="0.2">
      <c r="A16" s="31" t="s">
        <v>49</v>
      </c>
      <c r="B16" s="29"/>
      <c r="C16" s="29"/>
      <c r="D16" s="29"/>
    </row>
  </sheetData>
  <mergeCells count="5">
    <mergeCell ref="A15:D15"/>
    <mergeCell ref="A2:D2"/>
    <mergeCell ref="A16:D16"/>
    <mergeCell ref="A13:D13"/>
    <mergeCell ref="A14:D14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التكاليف التفصيلي</vt:lpstr>
      <vt:lpstr>جدول الدفعات والضمان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feed 118</cp:lastModifiedBy>
  <cp:lastPrinted>2026-09-10T09:23:54Z</cp:lastPrinted>
  <dcterms:created xsi:type="dcterms:W3CDTF">2026-09-10T09:10:56Z</dcterms:created>
  <dcterms:modified xsi:type="dcterms:W3CDTF">2026-09-10T10:32:51Z</dcterms:modified>
</cp:coreProperties>
</file>